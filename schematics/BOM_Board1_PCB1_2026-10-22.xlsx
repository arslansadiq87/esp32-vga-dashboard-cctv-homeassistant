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<sst xmlns="http://schemas.openxmlformats.org/spreadsheetml/2006/main" count="297" uniqueCount="157">
  <si>
    <t/>
  </si>
  <si>
    <t xml:space="preserve">Bill of Materials </t>
  </si>
  <si>
    <t>BOM_Board1_PCB1_2026-10-22</t>
  </si>
  <si>
    <t>Project Title：</t>
  </si>
  <si>
    <t>VGA-ESP32S3</t>
  </si>
  <si>
    <t>Variant:</t>
  </si>
  <si>
    <t xml:space="preserve"> </t>
  </si>
  <si>
    <t>Report Time：</t>
  </si>
  <si>
    <t>2026年10月22日 4:13:34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</si>
  <si>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</si>
  <si>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</si>
  <si>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</si>
  <si>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</si>
  <si>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</si>
  <si>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</si>
  <si>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</si>
  <si>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</si>
  <si>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</si>
  <si>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</si>
  <si>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</si>
  <si>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</si>
  <si>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10uF</t>
  </si>
  <si>
    <t>C1, C4</t>
  </si>
  <si>
    <t>C0805</t>
  </si>
  <si>
    <t>0805B106K250NT</t>
  </si>
  <si>
    <t>FH(风华)</t>
  </si>
  <si>
    <t>C92009</t>
  </si>
  <si>
    <t>LCSC</t>
  </si>
  <si>
    <t>100nF</t>
  </si>
  <si>
    <t>C2, C5, C7, C8</t>
  </si>
  <si>
    <t>CL21B104KBCNNNC</t>
  </si>
  <si>
    <t>SAMSUNG(三星)</t>
  </si>
  <si>
    <t>C1711</t>
  </si>
  <si>
    <t>100uF</t>
  </si>
  <si>
    <t>C3</t>
  </si>
  <si>
    <t>CAP-SMD_BD5.0-L5.3-W5.3-LS6.1-FD-1</t>
  </si>
  <si>
    <t>RST100UF10V002</t>
  </si>
  <si>
    <t>KNSCHA(科尼盛)</t>
  </si>
  <si>
    <t>C4747962</t>
  </si>
  <si>
    <t>470uF</t>
  </si>
  <si>
    <t>C6</t>
  </si>
  <si>
    <t>CAP-SMD_BD6.3-L6.6-W6.6-LS7.2-FD</t>
  </si>
  <si>
    <t>RST470UF10V029</t>
  </si>
  <si>
    <t>C4747954</t>
  </si>
  <si>
    <t>CDSOD323-T05LC-ES</t>
  </si>
  <si>
    <t>D1, D2, D3, D4, D5</t>
  </si>
  <si>
    <t>SOD-323_L1.8-W1.3-LS2.5-BI</t>
  </si>
  <si>
    <t>ElecSuper(静芯)</t>
  </si>
  <si>
    <t>C41409315</t>
  </si>
  <si>
    <t>FH2.54-09-22PZD</t>
  </si>
  <si>
    <t>H1, H2</t>
  </si>
  <si>
    <t>HDR-TH_22P-P2.54-V-F</t>
  </si>
  <si>
    <t>XUNPU(讯普)</t>
  </si>
  <si>
    <t>C7500786</t>
  </si>
  <si>
    <t>KH-2.54PH180-1X6P-L11.5</t>
  </si>
  <si>
    <t>H3</t>
  </si>
  <si>
    <t>HDR-TH_6P-P2.54-V-M-1</t>
  </si>
  <si>
    <t>kinghelm(金航标)</t>
  </si>
  <si>
    <t>C2905486</t>
  </si>
  <si>
    <t>KH-2.54PH180-1X4P-L11.5</t>
  </si>
  <si>
    <t>I2C, UART</t>
  </si>
  <si>
    <t>HDR-TH_4P-P2.54-V-M</t>
  </si>
  <si>
    <t>C2905435</t>
  </si>
  <si>
    <t>KH-2.54PH180-1X3P-L11.5</t>
  </si>
  <si>
    <t>J1, J2</t>
  </si>
  <si>
    <t>HDR-TH_3P-P2.54-V-M</t>
  </si>
  <si>
    <t>C2932698</t>
  </si>
  <si>
    <t>549Ω</t>
  </si>
  <si>
    <t>R1, R6, R12</t>
  </si>
  <si>
    <t>R0603</t>
  </si>
  <si>
    <t>0603WAF5490T5E</t>
  </si>
  <si>
    <t>UNI-ROYAL(厚声)</t>
  </si>
  <si>
    <t>C23079</t>
  </si>
  <si>
    <t>1.1kΩ</t>
  </si>
  <si>
    <t>R2, R7, R13</t>
  </si>
  <si>
    <t>0603WAF1101T5E</t>
  </si>
  <si>
    <t>C22764</t>
  </si>
  <si>
    <t>2.2kΩ</t>
  </si>
  <si>
    <t>R3, R8, R14</t>
  </si>
  <si>
    <t>RC0603FR-072K2L</t>
  </si>
  <si>
    <t>YAGEO(国巨)</t>
  </si>
  <si>
    <t>C114662</t>
  </si>
  <si>
    <t>4.42kΩ</t>
  </si>
  <si>
    <t>R4, R9, R15</t>
  </si>
  <si>
    <t>0603WAF4421T5E</t>
  </si>
  <si>
    <t>C23043</t>
  </si>
  <si>
    <t>8.87kΩ</t>
  </si>
  <si>
    <t>R5, R10, R16</t>
  </si>
  <si>
    <t>0603WAF8871T5E</t>
  </si>
  <si>
    <t>C23248</t>
  </si>
  <si>
    <t>17.8kΩ</t>
  </si>
  <si>
    <t>R11</t>
  </si>
  <si>
    <t>RC0603FR-0717K8L</t>
  </si>
  <si>
    <t>C185364</t>
  </si>
  <si>
    <t>33Ω</t>
  </si>
  <si>
    <t>R17, R18</t>
  </si>
  <si>
    <t>0603WAF330JT5E</t>
  </si>
  <si>
    <t>C23140</t>
  </si>
  <si>
    <t>330Ω</t>
  </si>
  <si>
    <t>R19, R20, R21, R22, R23, R24</t>
  </si>
  <si>
    <t>0603WAF3300T5E</t>
  </si>
  <si>
    <t>C23138</t>
  </si>
  <si>
    <t>5.1kΩ</t>
  </si>
  <si>
    <t>R25, R26</t>
  </si>
  <si>
    <t>R0805</t>
  </si>
  <si>
    <t>0805W8F5101T5E</t>
  </si>
  <si>
    <t>C27834</t>
  </si>
  <si>
    <t>4.7kΩ</t>
  </si>
  <si>
    <t>R27, R28</t>
  </si>
  <si>
    <t>0603WAF4701T5E</t>
  </si>
  <si>
    <t>C23162</t>
  </si>
  <si>
    <t>1188E1W3QR4</t>
  </si>
  <si>
    <t>RST</t>
  </si>
  <si>
    <t>SW-SMD_1188E1W3QR4</t>
  </si>
  <si>
    <t>Diptronics(圜达)</t>
  </si>
  <si>
    <t>C495891</t>
  </si>
  <si>
    <t>GBLC05-LF-T7</t>
  </si>
  <si>
    <t>TVS</t>
  </si>
  <si>
    <t>SOD-323_L1.8-W1.3-LS2.5-RD</t>
  </si>
  <si>
    <t>PROTEK</t>
  </si>
  <si>
    <t>C85354</t>
  </si>
  <si>
    <t>74AHCT244PW</t>
  </si>
  <si>
    <t>U1</t>
  </si>
  <si>
    <t>TSSOP-20_L6.5-W4.4-P0.65-LS6.4-BL</t>
  </si>
  <si>
    <t>MDD(辰达半导体)</t>
  </si>
  <si>
    <t>C54815894</t>
  </si>
  <si>
    <t>TYPE-C 6PIN</t>
  </si>
  <si>
    <t>USB</t>
  </si>
  <si>
    <t>USB-SMD_TYPE-C-6PIN</t>
  </si>
  <si>
    <t>SHOU HAN(首韩)</t>
  </si>
  <si>
    <t>C7507406</t>
  </si>
  <si>
    <t>2.54mm-1*3P 直针</t>
  </si>
  <si>
    <t>WS2812B1</t>
  </si>
  <si>
    <t>HDR-TH_3P-P2.54-V-M-1</t>
  </si>
  <si>
    <t>C9900025313</t>
  </si>
  <si>
    <t>S6B-PH-K-S(LF)(SN)</t>
  </si>
  <si>
    <t>WS2812B-2</t>
  </si>
  <si>
    <t>CONN-TH_6P-P2.00_S6B-PH-K-S-LF-SN</t>
  </si>
  <si>
    <t>JST</t>
  </si>
  <si>
    <t>C157920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</si>
  <si>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</si>
  <si>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</si>
  <si>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</si>
  <si>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</si>
  <si>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</si>
  <si>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</si>
  <si>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</si>
  <si>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</si>
  <si>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</si>
  <si>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</si>
  <si>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4:13:34</t>
  </si>
  <si>
    <t>Report Date</t>
  </si>
  <si>
    <t>2026年10月22日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</si>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</sst>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4</v>
      </c>
      <c r="C8" s="9" t="s">
        <v>28</v>
      </c>
      <c r="D8" s="9" t="s">
        <v>29</v>
      </c>
      <c r="E8" s="9" t="s">
        <v>23</v>
      </c>
      <c r="F8" s="9" t="s">
        <v>28</v>
      </c>
      <c r="G8" s="9" t="s">
        <v>30</v>
      </c>
      <c r="H8" s="9" t="s">
        <v>31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33</v>
      </c>
      <c r="D9" s="9" t="s">
        <v>34</v>
      </c>
      <c r="E9" s="9" t="s">
        <v>35</v>
      </c>
      <c r="F9" s="9" t="s">
        <v>33</v>
      </c>
      <c r="G9" s="9" t="s">
        <v>36</v>
      </c>
      <c r="H9" s="9" t="s">
        <v>37</v>
      </c>
      <c r="I9" s="9" t="s">
        <v>38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39</v>
      </c>
      <c r="D10" s="9" t="s">
        <v>40</v>
      </c>
      <c r="E10" s="9" t="s">
        <v>41</v>
      </c>
      <c r="F10" s="9" t="s">
        <v>39</v>
      </c>
      <c r="G10" s="9" t="s">
        <v>42</v>
      </c>
      <c r="H10" s="9" t="s">
        <v>37</v>
      </c>
      <c r="I10" s="9" t="s">
        <v>43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5</v>
      </c>
      <c r="C11" s="9" t="s">
        <v>44</v>
      </c>
      <c r="D11" s="9" t="s">
        <v>45</v>
      </c>
      <c r="E11" s="9" t="s">
        <v>46</v>
      </c>
      <c r="F11" s="9" t="s">
        <v>0</v>
      </c>
      <c r="G11" s="9" t="s">
        <v>44</v>
      </c>
      <c r="H11" s="9" t="s">
        <v>47</v>
      </c>
      <c r="I11" s="9" t="s">
        <v>48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2</v>
      </c>
      <c r="C12" s="9" t="s">
        <v>49</v>
      </c>
      <c r="D12" s="9" t="s">
        <v>50</v>
      </c>
      <c r="E12" s="9" t="s">
        <v>51</v>
      </c>
      <c r="F12" s="9" t="s">
        <v>0</v>
      </c>
      <c r="G12" s="9" t="s">
        <v>49</v>
      </c>
      <c r="H12" s="9" t="s">
        <v>52</v>
      </c>
      <c r="I12" s="9" t="s">
        <v>53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54</v>
      </c>
      <c r="D13" s="9" t="s">
        <v>55</v>
      </c>
      <c r="E13" s="9" t="s">
        <v>56</v>
      </c>
      <c r="F13" s="9" t="s">
        <v>0</v>
      </c>
      <c r="G13" s="9" t="s">
        <v>54</v>
      </c>
      <c r="H13" s="9" t="s">
        <v>57</v>
      </c>
      <c r="I13" s="9" t="s">
        <v>58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2</v>
      </c>
      <c r="C14" s="9" t="s">
        <v>59</v>
      </c>
      <c r="D14" s="9" t="s">
        <v>60</v>
      </c>
      <c r="E14" s="9" t="s">
        <v>61</v>
      </c>
      <c r="F14" s="9" t="s">
        <v>0</v>
      </c>
      <c r="G14" s="9" t="s">
        <v>59</v>
      </c>
      <c r="H14" s="9" t="s">
        <v>57</v>
      </c>
      <c r="I14" s="9" t="s">
        <v>62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2</v>
      </c>
      <c r="C15" s="9" t="s">
        <v>63</v>
      </c>
      <c r="D15" s="9" t="s">
        <v>64</v>
      </c>
      <c r="E15" s="9" t="s">
        <v>65</v>
      </c>
      <c r="F15" s="9" t="s">
        <v>0</v>
      </c>
      <c r="G15" s="9" t="s">
        <v>63</v>
      </c>
      <c r="H15" s="9" t="s">
        <v>57</v>
      </c>
      <c r="I15" s="9" t="s">
        <v>66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3</v>
      </c>
      <c r="C16" s="9" t="s">
        <v>67</v>
      </c>
      <c r="D16" s="9" t="s">
        <v>68</v>
      </c>
      <c r="E16" s="9" t="s">
        <v>69</v>
      </c>
      <c r="F16" s="9" t="s">
        <v>67</v>
      </c>
      <c r="G16" s="9" t="s">
        <v>70</v>
      </c>
      <c r="H16" s="9" t="s">
        <v>71</v>
      </c>
      <c r="I16" s="9" t="s">
        <v>72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3</v>
      </c>
      <c r="C17" s="9" t="s">
        <v>73</v>
      </c>
      <c r="D17" s="9" t="s">
        <v>74</v>
      </c>
      <c r="E17" s="9" t="s">
        <v>69</v>
      </c>
      <c r="F17" s="9" t="s">
        <v>73</v>
      </c>
      <c r="G17" s="9" t="s">
        <v>75</v>
      </c>
      <c r="H17" s="9" t="s">
        <v>71</v>
      </c>
      <c r="I17" s="9" t="s">
        <v>76</v>
      </c>
      <c r="J17" s="9" t="s">
        <v>27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3</v>
      </c>
      <c r="C18" s="9" t="s">
        <v>77</v>
      </c>
      <c r="D18" s="9" t="s">
        <v>78</v>
      </c>
      <c r="E18" s="9" t="s">
        <v>69</v>
      </c>
      <c r="F18" s="9" t="s">
        <v>77</v>
      </c>
      <c r="G18" s="9" t="s">
        <v>79</v>
      </c>
      <c r="H18" s="9" t="s">
        <v>80</v>
      </c>
      <c r="I18" s="9" t="s">
        <v>81</v>
      </c>
      <c r="J18" s="9" t="s">
        <v>27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3</v>
      </c>
      <c r="C19" s="9" t="s">
        <v>82</v>
      </c>
      <c r="D19" s="9" t="s">
        <v>83</v>
      </c>
      <c r="E19" s="9" t="s">
        <v>69</v>
      </c>
      <c r="F19" s="9" t="s">
        <v>82</v>
      </c>
      <c r="G19" s="9" t="s">
        <v>84</v>
      </c>
      <c r="H19" s="9" t="s">
        <v>71</v>
      </c>
      <c r="I19" s="9" t="s">
        <v>85</v>
      </c>
      <c r="J19" s="9" t="s">
        <v>27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3</v>
      </c>
      <c r="C20" s="9" t="s">
        <v>86</v>
      </c>
      <c r="D20" s="9" t="s">
        <v>87</v>
      </c>
      <c r="E20" s="9" t="s">
        <v>69</v>
      </c>
      <c r="F20" s="9" t="s">
        <v>86</v>
      </c>
      <c r="G20" s="9" t="s">
        <v>88</v>
      </c>
      <c r="H20" s="9" t="s">
        <v>71</v>
      </c>
      <c r="I20" s="9" t="s">
        <v>89</v>
      </c>
      <c r="J20" s="9" t="s">
        <v>27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90</v>
      </c>
      <c r="D21" s="9" t="s">
        <v>91</v>
      </c>
      <c r="E21" s="9" t="s">
        <v>69</v>
      </c>
      <c r="F21" s="9" t="s">
        <v>90</v>
      </c>
      <c r="G21" s="9" t="s">
        <v>92</v>
      </c>
      <c r="H21" s="9" t="s">
        <v>80</v>
      </c>
      <c r="I21" s="9" t="s">
        <v>93</v>
      </c>
      <c r="J21" s="9" t="s">
        <v>27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2</v>
      </c>
      <c r="C22" s="9" t="s">
        <v>94</v>
      </c>
      <c r="D22" s="9" t="s">
        <v>95</v>
      </c>
      <c r="E22" s="9" t="s">
        <v>69</v>
      </c>
      <c r="F22" s="9" t="s">
        <v>94</v>
      </c>
      <c r="G22" s="9" t="s">
        <v>96</v>
      </c>
      <c r="H22" s="9" t="s">
        <v>71</v>
      </c>
      <c r="I22" s="9" t="s">
        <v>97</v>
      </c>
      <c r="J22" s="9" t="s">
        <v>27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6</v>
      </c>
      <c r="C23" s="9" t="s">
        <v>98</v>
      </c>
      <c r="D23" s="9" t="s">
        <v>99</v>
      </c>
      <c r="E23" s="9" t="s">
        <v>69</v>
      </c>
      <c r="F23" s="9" t="s">
        <v>98</v>
      </c>
      <c r="G23" s="9" t="s">
        <v>100</v>
      </c>
      <c r="H23" s="9" t="s">
        <v>71</v>
      </c>
      <c r="I23" s="9" t="s">
        <v>101</v>
      </c>
      <c r="J23" s="9" t="s">
        <v>27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2</v>
      </c>
      <c r="C24" s="9" t="s">
        <v>102</v>
      </c>
      <c r="D24" s="9" t="s">
        <v>103</v>
      </c>
      <c r="E24" s="9" t="s">
        <v>104</v>
      </c>
      <c r="F24" s="9" t="s">
        <v>102</v>
      </c>
      <c r="G24" s="9" t="s">
        <v>105</v>
      </c>
      <c r="H24" s="9" t="s">
        <v>71</v>
      </c>
      <c r="I24" s="9" t="s">
        <v>106</v>
      </c>
      <c r="J24" s="9" t="s">
        <v>27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2</v>
      </c>
      <c r="C25" s="9" t="s">
        <v>107</v>
      </c>
      <c r="D25" s="9" t="s">
        <v>108</v>
      </c>
      <c r="E25" s="9" t="s">
        <v>69</v>
      </c>
      <c r="F25" s="9" t="s">
        <v>107</v>
      </c>
      <c r="G25" s="9" t="s">
        <v>109</v>
      </c>
      <c r="H25" s="9" t="s">
        <v>71</v>
      </c>
      <c r="I25" s="9" t="s">
        <v>110</v>
      </c>
      <c r="J25" s="9" t="s">
        <v>27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111</v>
      </c>
      <c r="D26" s="9" t="s">
        <v>112</v>
      </c>
      <c r="E26" s="9" t="s">
        <v>113</v>
      </c>
      <c r="F26" s="9" t="s">
        <v>0</v>
      </c>
      <c r="G26" s="9" t="s">
        <v>111</v>
      </c>
      <c r="H26" s="9" t="s">
        <v>114</v>
      </c>
      <c r="I26" s="9" t="s">
        <v>115</v>
      </c>
      <c r="J26" s="9" t="s">
        <v>27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116</v>
      </c>
      <c r="D27" s="9" t="s">
        <v>117</v>
      </c>
      <c r="E27" s="9" t="s">
        <v>118</v>
      </c>
      <c r="F27" s="9" t="s">
        <v>0</v>
      </c>
      <c r="G27" s="9" t="s">
        <v>116</v>
      </c>
      <c r="H27" s="9" t="s">
        <v>119</v>
      </c>
      <c r="I27" s="9" t="s">
        <v>120</v>
      </c>
      <c r="J27" s="9" t="s">
        <v>27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1</v>
      </c>
      <c r="C28" s="9" t="s">
        <v>121</v>
      </c>
      <c r="D28" s="9" t="s">
        <v>122</v>
      </c>
      <c r="E28" s="9" t="s">
        <v>123</v>
      </c>
      <c r="F28" s="9" t="s">
        <v>0</v>
      </c>
      <c r="G28" s="9" t="s">
        <v>121</v>
      </c>
      <c r="H28" s="9" t="s">
        <v>124</v>
      </c>
      <c r="I28" s="9" t="s">
        <v>125</v>
      </c>
      <c r="J28" s="9" t="s">
        <v>27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126</v>
      </c>
      <c r="D29" s="9" t="s">
        <v>127</v>
      </c>
      <c r="E29" s="9" t="s">
        <v>128</v>
      </c>
      <c r="F29" s="9" t="s">
        <v>0</v>
      </c>
      <c r="G29" s="9" t="s">
        <v>126</v>
      </c>
      <c r="H29" s="9" t="s">
        <v>129</v>
      </c>
      <c r="I29" s="9" t="s">
        <v>130</v>
      </c>
      <c r="J29" s="9" t="s">
        <v>27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131</v>
      </c>
      <c r="D30" s="9" t="s">
        <v>132</v>
      </c>
      <c r="E30" s="9" t="s">
        <v>133</v>
      </c>
      <c r="F30" s="9" t="s">
        <v>0</v>
      </c>
      <c r="G30" s="9" t="s">
        <v>131</v>
      </c>
      <c r="H30" s="9" t="s">
        <v>0</v>
      </c>
      <c r="I30" s="9" t="s">
        <v>134</v>
      </c>
      <c r="J30" s="9" t="s">
        <v>27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135</v>
      </c>
      <c r="D31" s="9" t="s">
        <v>136</v>
      </c>
      <c r="E31" s="9" t="s">
        <v>137</v>
      </c>
      <c r="F31" s="9" t="s">
        <v>0</v>
      </c>
      <c r="G31" s="9" t="s">
        <v>135</v>
      </c>
      <c r="H31" s="9" t="s">
        <v>138</v>
      </c>
      <c r="I31" s="9" t="s">
        <v>139</v>
      </c>
      <c r="J31" s="9" t="s">
        <v>27</v>
      </c>
      <c r="K31" s="9" t="s">
        <v>0</v>
      </c>
      <c r="L31" s="10">
        <f>B31*K31</f>
      </c>
    </row>
    <row r="32" spans="1:12" x14ac:dyDescent="0.25">
      <c r="A32" s="8">
        <f>ROW()-6</f>
      </c>
      <c r="B32" s="11">
        <f>SUM(L7:L31)</f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</sheetData>
  <mergeCells count="4">
    <mergeCell ref="A1:D5"/>
    <mergeCell ref="E1:E2"/>
    <mergeCell ref="F1:F2"/>
    <mergeCell ref="B32:L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140</v>
      </c>
      <c r="B1" s="6" t="s">
        <v>4</v>
      </c>
    </row>
    <row r="2" spans="1:2" x14ac:dyDescent="0.25">
      <c r="A2" s="6" t="s">
        <v>141</v>
      </c>
      <c r="B2" s="6" t="s">
        <v>142</v>
      </c>
    </row>
    <row r="3" spans="1:2" x14ac:dyDescent="0.25">
      <c r="A3" s="6" t="s">
        <v>143</v>
      </c>
      <c r="B3" s="6" t="s">
        <v>144</v>
      </c>
    </row>
    <row r="4" spans="1:2" x14ac:dyDescent="0.25">
      <c r="A4" s="6" t="s">
        <v>145</v>
      </c>
      <c r="B4" s="6" t="s">
        <v>146</v>
      </c>
    </row>
    <row r="5" spans="1:2" x14ac:dyDescent="0.25">
      <c r="A5" s="6" t="s">
        <v>147</v>
      </c>
      <c r="B5" s="6" t="s">
        <v>6</v>
      </c>
    </row>
    <row r="6" spans="1:2" x14ac:dyDescent="0.25">
      <c r="A6" s="6" t="s">
        <v>148</v>
      </c>
      <c r="B6" s="6">
        <v>54</v>
      </c>
    </row>
    <row r="7" spans="1:2" x14ac:dyDescent="0.25">
      <c r="A7" s="6" t="s">
        <v>149</v>
      </c>
      <c r="B7" s="6" t="s">
        <v>150</v>
      </c>
    </row>
    <row r="8" spans="1:2" x14ac:dyDescent="0.25">
      <c r="A8" s="6" t="s">
        <v>151</v>
      </c>
      <c r="B8" s="6" t="s">
        <v>152</v>
      </c>
    </row>
    <row r="9" spans="1:2" x14ac:dyDescent="0.25">
      <c r="A9" s="6" t="s">
        <v>153</v>
      </c>
      <c r="B9" s="6" t="s">
        <v>8</v>
      </c>
    </row>
    <row r="10" spans="1:2" x14ac:dyDescent="0.25">
      <c r="A10" s="6" t="s">
        <v>154</v>
      </c>
      <c r="B10" s="6" t="s">
        <v>2</v>
      </c>
    </row>
    <row r="11" spans="1:2" x14ac:dyDescent="0.25">
      <c r="A11" s="6" t="s">
        <v>155</v>
      </c>
      <c r="B11" s="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2026-10-21T23:13:34Z</dcterms:modified>
</cp:coreProperties>
</file>